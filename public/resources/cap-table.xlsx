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Ro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Shareholder</t>
        </is>
      </c>
      <c r="B1" s="1" t="inlineStr">
        <is>
          <t>Type</t>
        </is>
      </c>
      <c r="C1" s="1" t="inlineStr">
        <is>
          <t>Shares</t>
        </is>
      </c>
      <c r="D1" s="1" t="inlineStr">
        <is>
          <t>% of issued</t>
        </is>
      </c>
      <c r="E1" s="1" t="inlineStr">
        <is>
          <t>% fully diluted</t>
        </is>
      </c>
      <c r="G1" s="2" t="inlineStr">
        <is>
          <t>How to use</t>
        </is>
      </c>
    </row>
    <row r="2">
      <c r="A2" t="inlineStr">
        <is>
          <t>Founder A</t>
        </is>
      </c>
      <c r="B2" t="inlineStr">
        <is>
          <t>Ordinary</t>
        </is>
      </c>
      <c r="C2" t="n">
        <v>5000</v>
      </c>
      <c r="D2" s="3">
        <f>IF(B2="Options",0,C2/SUMIF($B$2:$B$20,"&lt;&gt;Options",$C$2:$C$20))</f>
        <v/>
      </c>
      <c r="E2" s="3">
        <f>C2/SUM($C$2:$C$20)</f>
        <v/>
      </c>
      <c r="G2" t="inlineStr">
        <is>
          <t>Type 'Ordinary', 'Preference' or 'Options' in column B.</t>
        </is>
      </c>
    </row>
    <row r="3">
      <c r="A3" t="inlineStr">
        <is>
          <t>Founder B</t>
        </is>
      </c>
      <c r="B3" t="inlineStr">
        <is>
          <t>Ordinary</t>
        </is>
      </c>
      <c r="C3" t="n">
        <v>5000</v>
      </c>
      <c r="D3" s="3">
        <f>IF(B3="Options",0,C3/SUMIF($B$2:$B$20,"&lt;&gt;Options",$C$2:$C$20))</f>
        <v/>
      </c>
      <c r="E3" s="3">
        <f>C3/SUM($C$2:$C$20)</f>
        <v/>
      </c>
      <c r="G3" t="inlineStr">
        <is>
          <t>Change shares in column C; percentages update.</t>
        </is>
      </c>
    </row>
    <row r="4">
      <c r="A4" t="inlineStr">
        <is>
          <t>Option pool (reserved)</t>
        </is>
      </c>
      <c r="B4" t="inlineStr">
        <is>
          <t>Options</t>
        </is>
      </c>
      <c r="C4" t="n">
        <v>1000</v>
      </c>
      <c r="D4" s="3">
        <f>IF(B4="Options",0,C4/SUMIF($B$2:$B$20,"&lt;&gt;Options",$C$2:$C$20))</f>
        <v/>
      </c>
      <c r="E4" s="3">
        <f>C4/SUM($C$2:$C$20)</f>
        <v/>
      </c>
      <c r="G4" t="inlineStr">
        <is>
          <t>Use the Round sheet to see dilution from a new investment.</t>
        </is>
      </c>
    </row>
    <row r="5">
      <c r="A5" t="inlineStr"/>
      <c r="B5" t="inlineStr"/>
      <c r="D5" s="3">
        <f>IF(C5="","",IF(B5="Options",0,C5/SUMIF($B$2:$B$20,"&lt;&gt;Options",$C$2:$C$20)))</f>
        <v/>
      </c>
      <c r="E5" s="3">
        <f>IF(C5="","",C5/SUM($C$2:$C$20))</f>
        <v/>
      </c>
      <c r="G5" t="inlineStr">
        <is>
          <t>A template, not financial or legal advice.</t>
        </is>
      </c>
    </row>
    <row r="6">
      <c r="A6" t="inlineStr"/>
      <c r="B6" t="inlineStr"/>
      <c r="D6" s="3">
        <f>IF(C6="","",IF(B6="Options",0,C6/SUMIF($B$2:$B$20,"&lt;&gt;Options",$C$2:$C$20)))</f>
        <v/>
      </c>
      <c r="E6" s="3">
        <f>IF(C6="","",C6/SUM($C$2:$C$20))</f>
        <v/>
      </c>
    </row>
    <row r="7">
      <c r="A7" t="inlineStr"/>
      <c r="B7" t="inlineStr"/>
      <c r="D7" s="3">
        <f>IF(C7="","",IF(B7="Options",0,C7/SUMIF($B$2:$B$20,"&lt;&gt;Options",$C$2:$C$20)))</f>
        <v/>
      </c>
      <c r="E7" s="3">
        <f>IF(C7="","",C7/SUM($C$2:$C$20))</f>
        <v/>
      </c>
    </row>
    <row r="8">
      <c r="A8" t="inlineStr"/>
      <c r="B8" t="inlineStr"/>
      <c r="D8" s="3">
        <f>IF(C8="","",IF(B8="Options",0,C8/SUMIF($B$2:$B$20,"&lt;&gt;Options",$C$2:$C$20)))</f>
        <v/>
      </c>
      <c r="E8" s="3">
        <f>IF(C8="","",C8/SUM($C$2:$C$20))</f>
        <v/>
      </c>
    </row>
    <row r="9">
      <c r="A9" t="inlineStr"/>
      <c r="B9" t="inlineStr"/>
      <c r="D9" s="3">
        <f>IF(C9="","",IF(B9="Options",0,C9/SUMIF($B$2:$B$20,"&lt;&gt;Options",$C$2:$C$20)))</f>
        <v/>
      </c>
      <c r="E9" s="3">
        <f>IF(C9="","",C9/SUM($C$2:$C$20))</f>
        <v/>
      </c>
    </row>
    <row r="10">
      <c r="A10" t="inlineStr"/>
      <c r="B10" t="inlineStr"/>
      <c r="D10" s="3">
        <f>IF(C10="","",IF(B10="Options",0,C10/SUMIF($B$2:$B$20,"&lt;&gt;Options",$C$2:$C$20)))</f>
        <v/>
      </c>
      <c r="E10" s="3">
        <f>IF(C10="","",C10/SUM($C$2:$C$20))</f>
        <v/>
      </c>
    </row>
    <row r="11">
      <c r="A11" t="inlineStr"/>
      <c r="B11" t="inlineStr"/>
      <c r="D11" s="3">
        <f>IF(C11="","",IF(B11="Options",0,C11/SUMIF($B$2:$B$20,"&lt;&gt;Options",$C$2:$C$20)))</f>
        <v/>
      </c>
      <c r="E11" s="3">
        <f>IF(C11="","",C11/SUM($C$2:$C$20))</f>
        <v/>
      </c>
    </row>
    <row r="12">
      <c r="A12" t="inlineStr"/>
      <c r="B12" t="inlineStr"/>
      <c r="D12" s="3">
        <f>IF(C12="","",IF(B12="Options",0,C12/SUMIF($B$2:$B$20,"&lt;&gt;Options",$C$2:$C$20)))</f>
        <v/>
      </c>
      <c r="E12" s="3">
        <f>IF(C12="","",C12/SUM($C$2:$C$20))</f>
        <v/>
      </c>
    </row>
    <row r="13">
      <c r="A13" t="inlineStr"/>
      <c r="B13" t="inlineStr"/>
      <c r="D13" s="3">
        <f>IF(C13="","",IF(B13="Options",0,C13/SUMIF($B$2:$B$20,"&lt;&gt;Options",$C$2:$C$20)))</f>
        <v/>
      </c>
      <c r="E13" s="3">
        <f>IF(C13="","",C13/SUM($C$2:$C$20))</f>
        <v/>
      </c>
    </row>
    <row r="14">
      <c r="A14" t="inlineStr"/>
      <c r="B14" t="inlineStr"/>
      <c r="D14" s="3">
        <f>IF(C14="","",IF(B14="Options",0,C14/SUMIF($B$2:$B$20,"&lt;&gt;Options",$C$2:$C$20)))</f>
        <v/>
      </c>
      <c r="E14" s="3">
        <f>IF(C14="","",C14/SUM($C$2:$C$20))</f>
        <v/>
      </c>
    </row>
    <row r="15">
      <c r="A15" t="inlineStr"/>
      <c r="B15" t="inlineStr"/>
      <c r="D15" s="3">
        <f>IF(C15="","",IF(B15="Options",0,C15/SUMIF($B$2:$B$20,"&lt;&gt;Options",$C$2:$C$20)))</f>
        <v/>
      </c>
      <c r="E15" s="3">
        <f>IF(C15="","",C15/SUM($C$2:$C$20))</f>
        <v/>
      </c>
    </row>
    <row r="16">
      <c r="A16" t="inlineStr"/>
      <c r="B16" t="inlineStr"/>
      <c r="D16" s="3">
        <f>IF(C16="","",IF(B16="Options",0,C16/SUMIF($B$2:$B$20,"&lt;&gt;Options",$C$2:$C$20)))</f>
        <v/>
      </c>
      <c r="E16" s="3">
        <f>IF(C16="","",C16/SUM($C$2:$C$20))</f>
        <v/>
      </c>
    </row>
    <row r="17">
      <c r="A17" t="inlineStr"/>
      <c r="B17" t="inlineStr"/>
      <c r="D17" s="3">
        <f>IF(C17="","",IF(B17="Options",0,C17/SUMIF($B$2:$B$20,"&lt;&gt;Options",$C$2:$C$20)))</f>
        <v/>
      </c>
      <c r="E17" s="3">
        <f>IF(C17="","",C17/SUM($C$2:$C$20))</f>
        <v/>
      </c>
    </row>
    <row r="18">
      <c r="A18" t="inlineStr"/>
      <c r="B18" t="inlineStr"/>
      <c r="D18" s="3">
        <f>IF(C18="","",IF(B18="Options",0,C18/SUMIF($B$2:$B$20,"&lt;&gt;Options",$C$2:$C$20)))</f>
        <v/>
      </c>
      <c r="E18" s="3">
        <f>IF(C18="","",C18/SUM($C$2:$C$20))</f>
        <v/>
      </c>
    </row>
    <row r="19">
      <c r="A19" t="inlineStr"/>
      <c r="B19" t="inlineStr"/>
      <c r="D19" s="3">
        <f>IF(C19="","",IF(B19="Options",0,C19/SUMIF($B$2:$B$20,"&lt;&gt;Options",$C$2:$C$20)))</f>
        <v/>
      </c>
      <c r="E19" s="3">
        <f>IF(C19="","",C19/SUM($C$2:$C$20))</f>
        <v/>
      </c>
    </row>
    <row r="20">
      <c r="A20" t="inlineStr"/>
      <c r="B20" t="inlineStr"/>
      <c r="D20" s="3">
        <f>IF(C20="","",IF(B20="Options",0,C20/SUMIF($B$2:$B$20,"&lt;&gt;Options",$C$2:$C$20)))</f>
        <v/>
      </c>
      <c r="E20" s="3">
        <f>IF(C20="","",C20/SUM($C$2:$C$20))</f>
        <v/>
      </c>
    </row>
    <row r="21">
      <c r="D21" s="3" t="n"/>
      <c r="E21" s="3" t="n"/>
    </row>
    <row r="22">
      <c r="A22" s="2" t="inlineStr">
        <is>
          <t>Total</t>
        </is>
      </c>
      <c r="B22" s="2" t="n"/>
      <c r="C22" s="2">
        <f>SUM(C2:C20)</f>
        <v/>
      </c>
      <c r="D22" s="4">
        <f>SUM(D2:D20)</f>
        <v/>
      </c>
      <c r="E22" s="4">
        <f>SUM(E2:E20)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2" t="inlineStr">
        <is>
          <t>New investment round</t>
        </is>
      </c>
      <c r="B1" s="2" t="inlineStr">
        <is>
          <t>Value</t>
        </is>
      </c>
    </row>
    <row r="2">
      <c r="A2" t="inlineStr">
        <is>
          <t>Pre-money valuation (£)</t>
        </is>
      </c>
      <c r="B2" t="n">
        <v>400000</v>
      </c>
    </row>
    <row r="3">
      <c r="A3" t="inlineStr">
        <is>
          <t>Investment (£)</t>
        </is>
      </c>
      <c r="B3" t="n">
        <v>100000</v>
      </c>
    </row>
    <row r="4">
      <c r="A4" t="inlineStr">
        <is>
          <t>Shares before round</t>
        </is>
      </c>
      <c r="B4">
        <f>'Cap table'!C22</f>
        <v/>
      </c>
    </row>
    <row r="5">
      <c r="A5" t="inlineStr">
        <is>
          <t>Post-money valuation (£)</t>
        </is>
      </c>
      <c r="B5">
        <f>B2+B3</f>
        <v/>
      </c>
    </row>
    <row r="6">
      <c r="A6" t="inlineStr">
        <is>
          <t>Investor's share of the company</t>
        </is>
      </c>
      <c r="B6" s="3">
        <f>B3/B5</f>
        <v/>
      </c>
    </row>
    <row r="7">
      <c r="A7" t="inlineStr">
        <is>
          <t>New shares issued</t>
        </is>
      </c>
      <c r="B7">
        <f>B4*B6/(1-B6)</f>
        <v/>
      </c>
    </row>
    <row r="8">
      <c r="A8" t="inlineStr">
        <is>
          <t>Price per share (£)</t>
        </is>
      </c>
      <c r="B8">
        <f>B3/B7</f>
        <v/>
      </c>
    </row>
    <row r="9">
      <c r="A9" t="inlineStr">
        <is>
          <t>Founders' share before</t>
        </is>
      </c>
      <c r="B9" s="3">
        <f>('Cap table'!C2+'Cap table'!C3)/B4</f>
        <v/>
      </c>
    </row>
    <row r="10">
      <c r="A10" t="inlineStr">
        <is>
          <t>Founders' share after</t>
        </is>
      </c>
      <c r="B10" s="3">
        <f>('Cap table'!C2+'Cap table'!C3)/(B4+B7)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2026-10-22T18:40:49Z</dcterms:created>
  <dcterms:modified xmlns:dcterms="http://purl.org/dc/terms/" xmlns:xsi="http://www.w3.org/2001/XMLSchema-instance" xsi:type="dcterms:W3CDTF">2026-10-22T18:40:49Z</dcterms:modified>
</cp:coreProperties>
</file>